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6.83203125" customWidth="1"/>
    <col min="2" max="2" width="16.83203125" customWidth="1"/>
    <col min="3" max="3" width="42.83203125" customWidth="1"/>
    <col min="4" max="4" width="10.83203125" customWidth="1"/>
    <col min="5" max="5" width="11.83203125" customWidth="1"/>
    <col min="6" max="6" width="10.83203125" customWidth="1"/>
    <col min="7" max="7" width="11.83203125" customWidth="1"/>
    <col min="8" max="8" width="11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10.83203125" customWidth="1"/>
  </cols>
  <sheetData>
    <row r="1" ht="28" customHeight="1">
      <c r="A1" t="str">
        <v>No.</v>
      </c>
      <c r="B1" t="str">
        <v>Item Number</v>
      </c>
      <c r="C1" t="str">
        <v>Description</v>
      </c>
      <c r="D1" t="str">
        <v>Quantity</v>
      </c>
      <c r="E1" t="str">
        <v>Unit Price</v>
      </c>
      <c r="F1" t="str">
        <v>Amount</v>
      </c>
      <c r="G1" t="str">
        <v>COSTO BS</v>
      </c>
      <c r="H1" t="str">
        <v>HERMANAS</v>
      </c>
      <c r="I1" t="str">
        <v>20</v>
      </c>
      <c r="J1" t="str">
        <v>30</v>
      </c>
      <c r="K1" t="str">
        <v>40</v>
      </c>
      <c r="L1" t="str">
        <v>50</v>
      </c>
      <c r="M1" t="str">
        <v>60</v>
      </c>
      <c r="N1" t="str">
        <v>70</v>
      </c>
      <c r="O1" t="str">
        <v>80</v>
      </c>
      <c r="P1" t="str">
        <v>XMAYOR</v>
      </c>
    </row>
    <row r="2">
      <c r="A2">
        <v>1</v>
      </c>
      <c r="B2" t="str">
        <v>212-1231L-A-2</v>
      </c>
      <c r="C2" t="str">
        <v>BISEL TOYOTA COROLLA 84-87 VAGONETA LH</v>
      </c>
      <c r="D2">
        <v>20</v>
      </c>
      <c r="E2">
        <v>9.9</v>
      </c>
      <c r="F2">
        <f>D2*E2</f>
      </c>
      <c r="G2">
        <f>E2*10.03*1.5</f>
      </c>
      <c r="H2">
        <f>E2*10.03*1.6</f>
      </c>
      <c r="I2">
        <f>G2*1.2</f>
      </c>
      <c r="J2">
        <f>G2*1.3</f>
      </c>
      <c r="K2">
        <f>G2*1.4</f>
      </c>
      <c r="L2">
        <f>G2*1.5</f>
      </c>
      <c r="M2">
        <f>G2*1.6</f>
      </c>
      <c r="N2">
        <f>G2*1.7</f>
      </c>
      <c r="O2">
        <f>G2*1.8</f>
      </c>
      <c r="P2">
        <v>195</v>
      </c>
    </row>
    <row r="3">
      <c r="A3">
        <v>2</v>
      </c>
      <c r="B3" t="str">
        <v>330-1133L-US1</v>
      </c>
      <c r="C3" t="str">
        <v>FAROL FORD ESCAPE 08-12 LH</v>
      </c>
      <c r="D3">
        <v>4</v>
      </c>
      <c r="E3">
        <v>44.95</v>
      </c>
      <c r="F3">
        <f>D3*E3</f>
      </c>
      <c r="G3">
        <f>E3*10.03*1.5</f>
      </c>
      <c r="H3">
        <f>E3*10.03*1.6</f>
      </c>
      <c r="I3">
        <f>G3*1.2</f>
      </c>
      <c r="J3">
        <f>G3*1.3</f>
      </c>
      <c r="K3">
        <f>G3*1.4</f>
      </c>
      <c r="L3">
        <f>G3*1.5</f>
      </c>
      <c r="M3">
        <f>G3*1.6</f>
      </c>
      <c r="N3">
        <f>G3*1.7</f>
      </c>
      <c r="O3">
        <f>G3*1.8</f>
      </c>
      <c r="P3">
        <v>880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